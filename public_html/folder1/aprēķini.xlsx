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DKN\Downloads\"/>
    </mc:Choice>
  </mc:AlternateContent>
  <xr:revisionPtr revIDLastSave="0" documentId="13_ncr:1_{CB993236-577E-4126-A5BE-A0C5D29FFFF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16" i="8"/>
  <c r="F14" i="8"/>
  <c r="F15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D8" i="4"/>
  <c r="F17" i="4"/>
  <c r="G6" i="6"/>
  <c r="G7" i="6"/>
  <c r="G8" i="6"/>
  <c r="G5" i="6"/>
  <c r="F8" i="6"/>
  <c r="F6" i="6"/>
  <c r="F7" i="6"/>
  <c r="F5" i="6"/>
  <c r="E6" i="6"/>
  <c r="E7" i="6"/>
  <c r="E8" i="6"/>
  <c r="E5" i="6"/>
  <c r="D8" i="6"/>
  <c r="D6" i="6"/>
  <c r="D7" i="6"/>
  <c r="D5" i="6"/>
  <c r="B5" i="3"/>
  <c r="B6" i="3"/>
  <c r="B7" i="3"/>
  <c r="B4" i="3"/>
  <c r="J18" i="7"/>
  <c r="K18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C9" i="7"/>
  <c r="D9" i="7"/>
  <c r="E9" i="7"/>
  <c r="F9" i="7"/>
  <c r="G9" i="7"/>
  <c r="H9" i="7"/>
  <c r="I9" i="7"/>
  <c r="J9" i="7"/>
  <c r="K9" i="7"/>
  <c r="B9" i="7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<sst xmlns="http://schemas.openxmlformats.org/spreadsheetml/2006/main" count="54" uniqueCount="52">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</sst>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44" fontId="8" fillId="3" borderId="2" xfId="9" applyFont="1" applyFill="1" applyBorder="1" applyAlignment="1">
      <alignment horizontal="center"/>
    </xf>
    <xf numFmtId="166" fontId="9" fillId="0" borderId="0" xfId="6" applyNumberFormat="1" applyFont="1"/>
    <xf numFmtId="166" fontId="9" fillId="3" borderId="2" xfId="6" applyNumberFormat="1" applyFont="1" applyFill="1" applyBorder="1" applyAlignment="1">
      <alignment horizontal="center"/>
    </xf>
    <xf numFmtId="2" fontId="0" fillId="3" borderId="2" xfId="0" applyNumberFormat="1" applyFill="1" applyBorder="1"/>
    <xf numFmtId="2" fontId="0" fillId="0" borderId="0" xfId="0" applyNumberFormat="1"/>
  </cellXfs>
  <cellStyles count="10">
    <cellStyle name="Comma" xfId="1" builtinId="3"/>
    <cellStyle name="Comma 2" xfId="3" xr:uid="{00000000-0005-0000-0000-000001000000}"/>
    <cellStyle name="Comma 3" xfId="7" xr:uid="{346510AD-4C48-484B-80EC-CAFD8C7FE370}"/>
    <cellStyle name="Currency" xfId="9" builtinId="4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F4" sqref="F4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4" t="s">
        <v>30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45">
        <f>IF(A4&gt;2,A4*2.9,A4*3.2)</f>
        <v>3.2</v>
      </c>
    </row>
    <row r="5" spans="1:22" x14ac:dyDescent="0.25">
      <c r="A5" s="4">
        <v>2</v>
      </c>
      <c r="B5" s="45">
        <f t="shared" ref="B5:B7" si="0">IF(A5&gt;2,A5*2.9,A5*3.2)</f>
        <v>6.4</v>
      </c>
    </row>
    <row r="6" spans="1:22" x14ac:dyDescent="0.25">
      <c r="A6" s="4">
        <v>3</v>
      </c>
      <c r="B6" s="45">
        <f t="shared" si="0"/>
        <v>8.6999999999999993</v>
      </c>
    </row>
    <row r="7" spans="1:22" x14ac:dyDescent="0.25">
      <c r="A7" s="4">
        <v>4</v>
      </c>
      <c r="B7" s="45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J18" sqref="J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29" t="s">
        <v>35</v>
      </c>
      <c r="B1" s="29"/>
      <c r="C1" s="29"/>
      <c r="D1" s="29"/>
      <c r="E1" s="29"/>
      <c r="F1" s="29"/>
      <c r="G1" s="29"/>
      <c r="H1" s="29"/>
      <c r="I1" s="28"/>
      <c r="J1" s="28"/>
      <c r="K1" s="28"/>
      <c r="L1" s="28"/>
      <c r="M1" s="28"/>
    </row>
    <row r="2" spans="1:13" ht="20.25" customHeight="1" x14ac:dyDescent="0.3">
      <c r="A2" s="36" t="s">
        <v>50</v>
      </c>
      <c r="B2" s="36"/>
      <c r="C2" s="36"/>
      <c r="D2" s="36"/>
      <c r="E2" s="36"/>
      <c r="F2" s="36"/>
      <c r="G2" s="29">
        <v>24</v>
      </c>
      <c r="H2" s="29"/>
      <c r="I2" s="28"/>
      <c r="J2" s="28"/>
      <c r="K2" s="28"/>
      <c r="L2" s="28"/>
      <c r="M2" s="28"/>
    </row>
    <row r="3" spans="1:13" ht="20.25" customHeight="1" x14ac:dyDescent="0.3">
      <c r="A3" s="37" t="s">
        <v>51</v>
      </c>
      <c r="B3" s="37"/>
      <c r="C3" s="37"/>
      <c r="D3" s="37"/>
      <c r="E3" s="37"/>
      <c r="F3" s="29"/>
      <c r="G3" s="29"/>
      <c r="H3" s="29"/>
      <c r="I3" s="28"/>
      <c r="J3" s="28"/>
      <c r="K3" s="28"/>
      <c r="L3" s="28"/>
      <c r="M3" s="28"/>
    </row>
    <row r="4" spans="1:13" ht="20.25" customHeight="1" x14ac:dyDescent="0.3">
      <c r="A4" s="37" t="s">
        <v>36</v>
      </c>
      <c r="B4" s="37"/>
      <c r="C4" s="37"/>
      <c r="D4" s="37"/>
      <c r="E4" s="29"/>
      <c r="F4" s="29"/>
      <c r="G4" s="29"/>
      <c r="H4" s="29"/>
      <c r="I4" s="28"/>
      <c r="J4" s="28"/>
      <c r="K4" s="28"/>
      <c r="L4" s="28"/>
      <c r="M4" s="28"/>
    </row>
    <row r="5" spans="1:13" ht="20.25" customHeight="1" thickBot="1" x14ac:dyDescent="0.35">
      <c r="A5" s="38" t="s">
        <v>37</v>
      </c>
      <c r="B5" s="38"/>
      <c r="C5" s="38"/>
      <c r="D5" s="38"/>
      <c r="E5" s="38"/>
      <c r="F5" s="38"/>
      <c r="G5" s="38"/>
      <c r="H5" s="38"/>
      <c r="I5" s="24"/>
      <c r="J5" s="24"/>
      <c r="K5" s="24"/>
      <c r="L5" s="24"/>
      <c r="M5" s="24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5" t="s">
        <v>38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 x14ac:dyDescent="0.25">
      <c r="A9" s="27">
        <v>2</v>
      </c>
      <c r="B9" s="30">
        <f>SQRT(B$8^2+$A9^2-2*$A9*B$8*COS(24))</f>
        <v>1.817493870870549</v>
      </c>
      <c r="C9" s="30">
        <f t="shared" ref="C9:K18" si="0">SQRT(C$8^2+$A9^2-2*$A9*C$8*COS(24))</f>
        <v>2.8124458949384317</v>
      </c>
      <c r="D9" s="30">
        <f t="shared" si="0"/>
        <v>4.5295054755745756</v>
      </c>
      <c r="E9" s="30">
        <f t="shared" si="0"/>
        <v>6.4127207794012113</v>
      </c>
      <c r="F9" s="30">
        <f t="shared" si="0"/>
        <v>8.3504224884653659</v>
      </c>
      <c r="G9" s="30">
        <f t="shared" si="0"/>
        <v>10.311940829793979</v>
      </c>
      <c r="H9" s="30">
        <f t="shared" si="0"/>
        <v>12.285873661179988</v>
      </c>
      <c r="I9" s="30">
        <f t="shared" si="0"/>
        <v>14.267069059893842</v>
      </c>
      <c r="J9" s="30">
        <f t="shared" si="0"/>
        <v>16.252871361734339</v>
      </c>
      <c r="K9" s="30">
        <f t="shared" si="0"/>
        <v>18.241776104381618</v>
      </c>
    </row>
    <row r="10" spans="1:13" x14ac:dyDescent="0.25">
      <c r="A10" s="27">
        <v>4</v>
      </c>
      <c r="B10" s="30">
        <f t="shared" ref="B10:B18" si="1">SQRT(B$8^2+$A10^2-2*$A10*B$8*COS(24))</f>
        <v>3.688708167001562</v>
      </c>
      <c r="C10" s="30">
        <f t="shared" si="0"/>
        <v>3.8496368431206691</v>
      </c>
      <c r="D10" s="30">
        <f t="shared" si="0"/>
        <v>4.9023300283151192</v>
      </c>
      <c r="E10" s="30">
        <f t="shared" si="0"/>
        <v>6.4223029817292305</v>
      </c>
      <c r="F10" s="30">
        <f t="shared" si="0"/>
        <v>8.1522457931380004</v>
      </c>
      <c r="G10" s="30">
        <f t="shared" si="0"/>
        <v>9.9835989179425813</v>
      </c>
      <c r="H10" s="30">
        <f t="shared" si="0"/>
        <v>11.86951486948613</v>
      </c>
      <c r="I10" s="30">
        <f t="shared" si="0"/>
        <v>13.78762195302585</v>
      </c>
      <c r="J10" s="30">
        <f t="shared" si="0"/>
        <v>15.726145586321158</v>
      </c>
      <c r="K10" s="30">
        <f t="shared" si="0"/>
        <v>17.678370707867185</v>
      </c>
    </row>
    <row r="11" spans="1:13" x14ac:dyDescent="0.25">
      <c r="A11" s="27">
        <v>6</v>
      </c>
      <c r="B11" s="30">
        <f t="shared" si="1"/>
        <v>5.6488805892810339</v>
      </c>
      <c r="C11" s="30">
        <f t="shared" si="0"/>
        <v>5.4524816126116473</v>
      </c>
      <c r="D11" s="30">
        <f t="shared" si="0"/>
        <v>5.9623199813311079</v>
      </c>
      <c r="E11" s="30">
        <f t="shared" si="0"/>
        <v>7.0263051018079379</v>
      </c>
      <c r="F11" s="30">
        <f t="shared" si="0"/>
        <v>8.4373376848152954</v>
      </c>
      <c r="G11" s="30">
        <f t="shared" si="0"/>
        <v>10.050292086875704</v>
      </c>
      <c r="H11" s="30">
        <f t="shared" si="0"/>
        <v>11.782532616353263</v>
      </c>
      <c r="I11" s="30">
        <f t="shared" si="0"/>
        <v>13.588516426723727</v>
      </c>
      <c r="J11" s="30">
        <f t="shared" si="0"/>
        <v>15.442392382764162</v>
      </c>
      <c r="K11" s="30">
        <f t="shared" si="0"/>
        <v>17.328796447738796</v>
      </c>
    </row>
    <row r="12" spans="1:13" x14ac:dyDescent="0.25">
      <c r="A12" s="27">
        <v>8</v>
      </c>
      <c r="B12" s="30">
        <f t="shared" si="1"/>
        <v>7.629753330390705</v>
      </c>
      <c r="C12" s="30">
        <f t="shared" si="0"/>
        <v>7.2553020369812407</v>
      </c>
      <c r="D12" s="30">
        <f t="shared" si="0"/>
        <v>7.4206252710294063</v>
      </c>
      <c r="E12" s="30">
        <f t="shared" si="0"/>
        <v>8.0927097549743081</v>
      </c>
      <c r="F12" s="30">
        <f t="shared" si="0"/>
        <v>9.1606889993860428</v>
      </c>
      <c r="G12" s="30">
        <f t="shared" si="0"/>
        <v>10.50449878426803</v>
      </c>
      <c r="H12" s="30">
        <f t="shared" si="0"/>
        <v>12.03207240976818</v>
      </c>
      <c r="I12" s="30">
        <f t="shared" si="0"/>
        <v>13.681996865922779</v>
      </c>
      <c r="J12" s="30">
        <f t="shared" si="0"/>
        <v>15.415035193094333</v>
      </c>
      <c r="K12" s="30">
        <f t="shared" si="0"/>
        <v>17.206091414657568</v>
      </c>
    </row>
    <row r="13" spans="1:13" x14ac:dyDescent="0.25">
      <c r="A13" s="27">
        <v>10</v>
      </c>
      <c r="B13" s="30">
        <f t="shared" si="1"/>
        <v>9.6185456204802637</v>
      </c>
      <c r="C13" s="30">
        <f t="shared" si="0"/>
        <v>9.1405284070331607</v>
      </c>
      <c r="D13" s="30">
        <f t="shared" si="0"/>
        <v>9.0874693543527449</v>
      </c>
      <c r="E13" s="30">
        <f t="shared" si="0"/>
        <v>9.4665167285977176</v>
      </c>
      <c r="F13" s="30">
        <f t="shared" si="0"/>
        <v>10.229749688009992</v>
      </c>
      <c r="G13" s="30">
        <f t="shared" si="0"/>
        <v>11.299584876705014</v>
      </c>
      <c r="H13" s="30">
        <f t="shared" si="0"/>
        <v>12.59815296352528</v>
      </c>
      <c r="I13" s="30">
        <f t="shared" si="0"/>
        <v>14.06222947469216</v>
      </c>
      <c r="J13" s="30">
        <f t="shared" si="0"/>
        <v>15.645419058159517</v>
      </c>
      <c r="K13" s="30">
        <f t="shared" si="0"/>
        <v>17.315079474606552</v>
      </c>
    </row>
    <row r="14" spans="1:13" x14ac:dyDescent="0.25">
      <c r="A14" s="27">
        <v>12</v>
      </c>
      <c r="B14" s="30">
        <f t="shared" si="1"/>
        <v>11.611188734316228</v>
      </c>
      <c r="C14" s="30">
        <f t="shared" si="0"/>
        <v>11.066124501004687</v>
      </c>
      <c r="D14" s="30">
        <f t="shared" si="0"/>
        <v>10.867314255121196</v>
      </c>
      <c r="E14" s="30">
        <f t="shared" si="0"/>
        <v>11.033491141401461</v>
      </c>
      <c r="F14" s="30">
        <f t="shared" si="0"/>
        <v>11.548910529362008</v>
      </c>
      <c r="G14" s="30">
        <f t="shared" si="0"/>
        <v>12.369993616127406</v>
      </c>
      <c r="H14" s="30">
        <f t="shared" si="0"/>
        <v>13.440838876753821</v>
      </c>
      <c r="I14" s="30">
        <f t="shared" si="0"/>
        <v>14.706990084945359</v>
      </c>
      <c r="J14" s="30">
        <f t="shared" si="0"/>
        <v>16.122498720933589</v>
      </c>
      <c r="K14" s="30">
        <f t="shared" si="0"/>
        <v>17.651469419125689</v>
      </c>
    </row>
    <row r="15" spans="1:13" x14ac:dyDescent="0.25">
      <c r="A15" s="27">
        <v>14</v>
      </c>
      <c r="B15" s="30">
        <f t="shared" si="1"/>
        <v>13.605990878821141</v>
      </c>
      <c r="C15" s="30">
        <f t="shared" si="0"/>
        <v>13.014183162369134</v>
      </c>
      <c r="D15" s="30">
        <f t="shared" si="0"/>
        <v>12.712786436215328</v>
      </c>
      <c r="E15" s="30">
        <f t="shared" si="0"/>
        <v>12.722457096093843</v>
      </c>
      <c r="F15" s="30">
        <f t="shared" si="0"/>
        <v>13.042503216448779</v>
      </c>
      <c r="G15" s="30">
        <f t="shared" si="0"/>
        <v>13.65111225286075</v>
      </c>
      <c r="H15" s="30">
        <f t="shared" si="0"/>
        <v>14.512024025935634</v>
      </c>
      <c r="I15" s="30">
        <f t="shared" si="0"/>
        <v>15.58347897353031</v>
      </c>
      <c r="J15" s="30">
        <f t="shared" si="0"/>
        <v>16.825302152044387</v>
      </c>
      <c r="K15" s="30">
        <f t="shared" si="0"/>
        <v>18.202658270063679</v>
      </c>
    </row>
    <row r="16" spans="1:13" x14ac:dyDescent="0.25">
      <c r="A16" s="27">
        <v>16</v>
      </c>
      <c r="B16" s="30">
        <f t="shared" si="1"/>
        <v>15.60212395045034</v>
      </c>
      <c r="C16" s="30">
        <f t="shared" si="0"/>
        <v>14.975941215684852</v>
      </c>
      <c r="D16" s="30">
        <f t="shared" si="0"/>
        <v>14.599019104928951</v>
      </c>
      <c r="E16" s="30">
        <f t="shared" si="0"/>
        <v>14.49082131407715</v>
      </c>
      <c r="F16" s="30">
        <f t="shared" si="0"/>
        <v>14.657300088588787</v>
      </c>
      <c r="G16" s="30">
        <f t="shared" si="0"/>
        <v>15.089366766613404</v>
      </c>
      <c r="H16" s="30">
        <f t="shared" si="0"/>
        <v>15.765200060506979</v>
      </c>
      <c r="I16" s="30">
        <f t="shared" si="0"/>
        <v>16.655151649812183</v>
      </c>
      <c r="J16" s="30">
        <f t="shared" si="0"/>
        <v>17.727002566950613</v>
      </c>
      <c r="K16" s="30">
        <f t="shared" si="0"/>
        <v>18.949911966526543</v>
      </c>
    </row>
    <row r="17" spans="1:11" x14ac:dyDescent="0.25">
      <c r="A17" s="27">
        <v>18</v>
      </c>
      <c r="B17" s="30">
        <f t="shared" si="1"/>
        <v>17.599135084880398</v>
      </c>
      <c r="C17" s="30">
        <f t="shared" si="0"/>
        <v>16.946641767843101</v>
      </c>
      <c r="D17" s="30">
        <f t="shared" si="0"/>
        <v>16.512049499663586</v>
      </c>
      <c r="E17" s="30">
        <f t="shared" si="0"/>
        <v>16.312783028995291</v>
      </c>
      <c r="F17" s="30">
        <f t="shared" si="0"/>
        <v>16.357444837834944</v>
      </c>
      <c r="G17" s="30">
        <f t="shared" si="0"/>
        <v>16.644071409800823</v>
      </c>
      <c r="H17" s="30">
        <f t="shared" si="0"/>
        <v>17.160542665262234</v>
      </c>
      <c r="I17" s="30">
        <f t="shared" si="0"/>
        <v>17.886959943993325</v>
      </c>
      <c r="J17" s="30">
        <f t="shared" si="0"/>
        <v>18.799001237027404</v>
      </c>
      <c r="K17" s="30">
        <f t="shared" si="0"/>
        <v>19.871123747324763</v>
      </c>
    </row>
    <row r="18" spans="1:11" x14ac:dyDescent="0.25">
      <c r="A18" s="27">
        <v>20</v>
      </c>
      <c r="B18" s="30">
        <f t="shared" si="1"/>
        <v>19.596755846479287</v>
      </c>
      <c r="C18" s="30">
        <f t="shared" si="0"/>
        <v>18.923491197967682</v>
      </c>
      <c r="D18" s="30">
        <f t="shared" si="0"/>
        <v>18.443540835007809</v>
      </c>
      <c r="E18" s="30">
        <f t="shared" si="0"/>
        <v>18.172228205303853</v>
      </c>
      <c r="F18" s="30">
        <f t="shared" si="0"/>
        <v>18.11892815148515</v>
      </c>
      <c r="G18" s="30">
        <f t="shared" si="0"/>
        <v>18.285547210070618</v>
      </c>
      <c r="H18" s="30">
        <f t="shared" si="0"/>
        <v>18.66619715380617</v>
      </c>
      <c r="I18" s="30">
        <f t="shared" si="0"/>
        <v>19.248184215603345</v>
      </c>
      <c r="J18" s="30">
        <f>SQRT(J$8^2+$A18^2-2*$A18*J$8*COS(24))</f>
        <v>20.013952008807308</v>
      </c>
      <c r="K18" s="30">
        <f>SQRT(K$8^2+$A18^2-2*$A18*K$8*COS(24))</f>
        <v>20.943351079134455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6" sqref="G6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2" width="8.85546875" style="6"/>
    <col min="13" max="13" width="11.140625" style="6" bestFit="1" customWidth="1"/>
    <col min="14" max="16384" width="8.85546875" style="6"/>
  </cols>
  <sheetData>
    <row r="1" spans="1:22" s="1" customFormat="1" ht="66.599999999999994" customHeight="1" thickBot="1" x14ac:dyDescent="0.3">
      <c r="A1" s="34" t="s">
        <v>32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8.75" thickTop="1" x14ac:dyDescent="0.25"/>
    <row r="3" spans="1:22" x14ac:dyDescent="0.25">
      <c r="A3" s="39" t="s">
        <v>20</v>
      </c>
      <c r="B3" s="40"/>
      <c r="C3" s="41"/>
      <c r="D3" s="39" t="s">
        <v>22</v>
      </c>
      <c r="E3" s="40"/>
      <c r="F3" s="41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str">
        <f>IF(A5+B5&gt;C5,"Jā","Nē")</f>
        <v>Jā</v>
      </c>
      <c r="E5" s="22" t="str">
        <f>IF(A5+C5&gt;B5,"Jā","Nē")</f>
        <v>Jā</v>
      </c>
      <c r="F5" s="22" t="str">
        <f>IF(B5+C5&gt;A5,"Jā","Nē")</f>
        <v>Jā</v>
      </c>
      <c r="G5" s="23" t="str">
        <f>IF(AND(D5="Jā",E5="Jā",F5="Jā"),"Jā","Nē")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str">
        <f t="shared" ref="D6:D7" si="0">IF(A6+B6&gt;C6,"Jā","Nē")</f>
        <v>Jā</v>
      </c>
      <c r="E6" s="22" t="str">
        <f t="shared" ref="E6:E8" si="1">IF(A6+C6&gt;B6,"Jā","Nē")</f>
        <v>Jā</v>
      </c>
      <c r="F6" s="22" t="str">
        <f t="shared" ref="F6:F7" si="2">IF(B6+C6&gt;A6,"Jā","Nē")</f>
        <v>Nē</v>
      </c>
      <c r="G6" s="23" t="str">
        <f t="shared" ref="G6:G8" si="3">IF(AND(D6="Jā",E6="Jā",F6="Jā"),"Jā","Nē")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str">
        <f t="shared" si="0"/>
        <v>Nē</v>
      </c>
      <c r="E7" s="22" t="str">
        <f t="shared" si="1"/>
        <v>Jā</v>
      </c>
      <c r="F7" s="22" t="str">
        <f t="shared" si="2"/>
        <v>Jā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str">
        <f>IF(A8+B8&gt;C8,"Jā","Nē")</f>
        <v>Jā</v>
      </c>
      <c r="E8" s="22" t="str">
        <f t="shared" si="1"/>
        <v>Jā</v>
      </c>
      <c r="F8" s="22" t="str">
        <f>IF(B8+C8&gt;A8,"Jā","Nē")</f>
        <v>Jā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sqref="A1:H1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4" t="s">
        <v>33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/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/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/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/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/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/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/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/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/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/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/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/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7"/>
  <sheetViews>
    <sheetView workbookViewId="0">
      <selection activeCell="B7" sqref="B7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4" t="s">
        <v>34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47" t="str">
        <f>IF(MOD(A4,10)=1,IF(A4=11,"centi","cents"),"centi")</f>
        <v>centi</v>
      </c>
    </row>
    <row r="5" spans="1:22" x14ac:dyDescent="0.25">
      <c r="A5" s="8">
        <v>1</v>
      </c>
      <c r="B5" s="47" t="str">
        <f t="shared" ref="B5:B13" si="0">IF(MOD(A5,10)=1,IF(A5=11,"centi","cents"),"centi")</f>
        <v>cents</v>
      </c>
    </row>
    <row r="6" spans="1:22" x14ac:dyDescent="0.25">
      <c r="A6" s="8">
        <v>2</v>
      </c>
      <c r="B6" s="47" t="str">
        <f t="shared" si="0"/>
        <v>centi</v>
      </c>
    </row>
    <row r="7" spans="1:22" x14ac:dyDescent="0.25">
      <c r="A7" s="8">
        <v>9</v>
      </c>
      <c r="B7" s="47" t="str">
        <f t="shared" si="0"/>
        <v>centi</v>
      </c>
    </row>
    <row r="8" spans="1:22" x14ac:dyDescent="0.25">
      <c r="A8" s="8">
        <v>10</v>
      </c>
      <c r="B8" s="47" t="str">
        <f t="shared" si="0"/>
        <v>centi</v>
      </c>
      <c r="D8" s="6" t="str">
        <f>IF(MOD(A8,10)=1,"cents","centi")</f>
        <v>centi</v>
      </c>
    </row>
    <row r="9" spans="1:22" x14ac:dyDescent="0.25">
      <c r="A9" s="8">
        <v>11</v>
      </c>
      <c r="B9" s="47" t="str">
        <f t="shared" si="0"/>
        <v>centi</v>
      </c>
    </row>
    <row r="10" spans="1:22" x14ac:dyDescent="0.25">
      <c r="A10" s="8">
        <v>12</v>
      </c>
      <c r="B10" s="47" t="str">
        <f t="shared" si="0"/>
        <v>centi</v>
      </c>
    </row>
    <row r="11" spans="1:22" x14ac:dyDescent="0.25">
      <c r="A11" s="8">
        <v>21</v>
      </c>
      <c r="B11" s="47" t="str">
        <f t="shared" si="0"/>
        <v>cents</v>
      </c>
    </row>
    <row r="12" spans="1:22" x14ac:dyDescent="0.25">
      <c r="A12" s="8">
        <v>99</v>
      </c>
      <c r="B12" s="47" t="str">
        <f t="shared" si="0"/>
        <v>centi</v>
      </c>
    </row>
    <row r="13" spans="1:22" x14ac:dyDescent="0.25">
      <c r="A13" s="8">
        <v>91</v>
      </c>
      <c r="B13" s="47" t="str">
        <f t="shared" si="0"/>
        <v>cents</v>
      </c>
    </row>
    <row r="17" spans="6:6" x14ac:dyDescent="0.25">
      <c r="F17" s="46" t="str">
        <f>IF(ISEVEN((A4+9)/10),"centi","cents")</f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R6" sqref="R6"/>
    </sheetView>
  </sheetViews>
  <sheetFormatPr defaultRowHeight="15" x14ac:dyDescent="0.25"/>
  <cols>
    <col min="1" max="1" width="26.85546875" customWidth="1"/>
    <col min="6" max="6" width="13.140625" bestFit="1" customWidth="1"/>
  </cols>
  <sheetData>
    <row r="1" spans="1:8" ht="18" customHeight="1" x14ac:dyDescent="0.25">
      <c r="A1" s="32" t="s">
        <v>35</v>
      </c>
      <c r="B1" s="32"/>
      <c r="C1" s="32"/>
      <c r="D1" s="32"/>
    </row>
    <row r="2" spans="1:8" ht="18" customHeight="1" x14ac:dyDescent="0.25">
      <c r="A2" s="33" t="s">
        <v>25</v>
      </c>
      <c r="B2" s="32">
        <v>10</v>
      </c>
      <c r="C2" s="32"/>
      <c r="D2" s="32"/>
    </row>
    <row r="3" spans="1:8" ht="18" customHeight="1" x14ac:dyDescent="0.25">
      <c r="A3" s="44" t="s">
        <v>49</v>
      </c>
      <c r="B3" s="44"/>
      <c r="C3" s="44"/>
      <c r="D3" s="44"/>
      <c r="E3" s="44"/>
      <c r="F3" s="44"/>
      <c r="G3" s="44"/>
      <c r="H3" s="44"/>
    </row>
    <row r="4" spans="1:8" ht="18" customHeight="1" x14ac:dyDescent="0.25"/>
    <row r="5" spans="1:8" ht="18" customHeight="1" x14ac:dyDescent="0.25"/>
    <row r="6" spans="1:8" ht="18" customHeight="1" thickBot="1" x14ac:dyDescent="0.3">
      <c r="A6" s="31" t="s">
        <v>48</v>
      </c>
      <c r="B6" s="31"/>
      <c r="C6" s="31"/>
      <c r="D6" s="31"/>
      <c r="E6" s="31"/>
      <c r="F6" s="31"/>
      <c r="G6" s="31"/>
      <c r="H6" s="31"/>
    </row>
    <row r="7" spans="1:8" ht="18" customHeight="1" thickTop="1" x14ac:dyDescent="0.25">
      <c r="A7" s="32" t="s">
        <v>47</v>
      </c>
      <c r="F7" s="48">
        <f>F16-F15</f>
        <v>2000.0000000000005</v>
      </c>
    </row>
    <row r="8" spans="1:8" ht="18" customHeight="1" x14ac:dyDescent="0.25">
      <c r="A8" s="42" t="s">
        <v>46</v>
      </c>
      <c r="B8" s="42"/>
      <c r="C8" s="42"/>
      <c r="F8" s="48">
        <f>2*(B2*F12)+2*(B2^2)+2*(F14-F13)</f>
        <v>1024.2640687119285</v>
      </c>
    </row>
    <row r="9" spans="1:8" ht="18" customHeight="1" x14ac:dyDescent="0.25">
      <c r="F9" s="49"/>
    </row>
    <row r="10" spans="1:8" ht="18" customHeight="1" x14ac:dyDescent="0.25">
      <c r="A10" s="42" t="s">
        <v>45</v>
      </c>
      <c r="B10" s="42"/>
      <c r="C10" s="42"/>
      <c r="F10" s="49"/>
    </row>
    <row r="11" spans="1:8" ht="18" customHeight="1" x14ac:dyDescent="0.25">
      <c r="A11" s="42" t="s">
        <v>44</v>
      </c>
      <c r="B11" s="42"/>
      <c r="C11" s="42"/>
      <c r="F11" s="48">
        <f>SQRT(B2^2/2)</f>
        <v>7.0710678118654755</v>
      </c>
    </row>
    <row r="12" spans="1:8" ht="18" customHeight="1" x14ac:dyDescent="0.25">
      <c r="A12" s="42" t="s">
        <v>43</v>
      </c>
      <c r="B12" s="42"/>
      <c r="C12" s="42"/>
      <c r="F12" s="48">
        <f>SQRT((3*B2)^2/2)</f>
        <v>21.213203435596427</v>
      </c>
    </row>
    <row r="13" spans="1:8" ht="18" customHeight="1" x14ac:dyDescent="0.25">
      <c r="A13" s="42" t="s">
        <v>42</v>
      </c>
      <c r="B13" s="42"/>
      <c r="C13" s="42"/>
      <c r="F13" s="48">
        <f>F11^2/2</f>
        <v>25.000000000000004</v>
      </c>
    </row>
    <row r="14" spans="1:8" ht="18" customHeight="1" x14ac:dyDescent="0.25">
      <c r="A14" s="42" t="s">
        <v>41</v>
      </c>
      <c r="B14" s="42"/>
      <c r="C14" s="42"/>
      <c r="F14" s="48">
        <f>F12^2/2</f>
        <v>225.00000000000003</v>
      </c>
    </row>
    <row r="15" spans="1:8" ht="18" customHeight="1" x14ac:dyDescent="0.25">
      <c r="A15" s="42" t="s">
        <v>40</v>
      </c>
      <c r="B15" s="42"/>
      <c r="C15" s="42"/>
      <c r="D15" s="42"/>
      <c r="E15" s="43"/>
      <c r="F15" s="48">
        <f>F13*B2</f>
        <v>250.00000000000003</v>
      </c>
    </row>
    <row r="16" spans="1:8" ht="18" customHeight="1" x14ac:dyDescent="0.25">
      <c r="A16" s="42" t="s">
        <v>39</v>
      </c>
      <c r="B16" s="42"/>
      <c r="C16" s="42"/>
      <c r="F16" s="48">
        <f>F14*B2</f>
        <v>2250.0000000000005</v>
      </c>
    </row>
    <row r="19" spans="1:3" ht="19.5" x14ac:dyDescent="0.25">
      <c r="A19" s="42"/>
      <c r="B19" s="42"/>
      <c r="C19" s="42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Dmitrijs Dikanskis /External</cp:lastModifiedBy>
  <dcterms:created xsi:type="dcterms:W3CDTF">2021-10-27T13:59:32Z</dcterms:created>
  <dcterms:modified xsi:type="dcterms:W3CDTF">2025-11-27T20:27:52Z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  <property fmtid="{D5CDD505-2E9C-101B-9397-08002B2CF9AE}" pid="3" name="MSIP_Label_59bfe634-5369-40ae-a17a-0ffc3537e7cd_Enabled">
    <vt:lpwstr>true</vt:lpwstr>
  </property>
  <property fmtid="{D5CDD505-2E9C-101B-9397-08002B2CF9AE}" pid="4" name="MSIP_Label_59bfe634-5369-40ae-a17a-0ffc3537e7cd_SetDate">
    <vt:lpwstr>2025-11-27T19:55:55Z</vt:lpwstr>
  </property>
  <property fmtid="{D5CDD505-2E9C-101B-9397-08002B2CF9AE}" pid="5" name="MSIP_Label_59bfe634-5369-40ae-a17a-0ffc3537e7cd_Method">
    <vt:lpwstr>Standard</vt:lpwstr>
  </property>
  <property fmtid="{D5CDD505-2E9C-101B-9397-08002B2CF9AE}" pid="6" name="MSIP_Label_59bfe634-5369-40ae-a17a-0ffc3537e7cd_Name">
    <vt:lpwstr>59bfe634-5369-40ae-a17a-0ffc3537e7cd</vt:lpwstr>
  </property>
  <property fmtid="{D5CDD505-2E9C-101B-9397-08002B2CF9AE}" pid="7" name="MSIP_Label_59bfe634-5369-40ae-a17a-0ffc3537e7cd_SiteId">
    <vt:lpwstr>05764a73-8c6f-4538-83cd-413f1e1b5665</vt:lpwstr>
  </property>
  <property fmtid="{D5CDD505-2E9C-101B-9397-08002B2CF9AE}" pid="8" name="MSIP_Label_59bfe634-5369-40ae-a17a-0ffc3537e7cd_ActionId">
    <vt:lpwstr>653c58a6-7547-4689-9bf0-84a2513f7ddb</vt:lpwstr>
  </property>
  <property fmtid="{D5CDD505-2E9C-101B-9397-08002B2CF9AE}" pid="9" name="MSIP_Label_59bfe634-5369-40ae-a17a-0ffc3537e7cd_ContentBits">
    <vt:lpwstr>0</vt:lpwstr>
  </property>
  <property fmtid="{D5CDD505-2E9C-101B-9397-08002B2CF9AE}" pid="10" name="MSIP_Label_59bfe634-5369-40ae-a17a-0ffc3537e7cd_Tag">
    <vt:lpwstr>10, 3, 0, 1</vt:lpwstr>
  </property>
</Properties>
</file>